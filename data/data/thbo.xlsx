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datos\"/>
    </mc:Choice>
  </mc:AlternateContent>
  <xr:revisionPtr revIDLastSave="0" documentId="13_ncr:1_{5986E37C-1648-4747-89EE-0BDC948EE1CB}" xr6:coauthVersionLast="47" xr6:coauthVersionMax="47" xr10:uidLastSave="{00000000-0000-0000-0000-000000000000}"/>
  <bookViews>
    <workbookView xWindow="-120" yWindow="-120" windowWidth="38640" windowHeight="15720" activeTab="2" xr2:uid="{CE808380-453C-4457-92AC-BC419D23641A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2" i="2"/>
</calcChain>
</file>

<file path=xl/sharedStrings.xml><?xml version="1.0" encoding="utf-8"?>
<sst xmlns="http://schemas.openxmlformats.org/spreadsheetml/2006/main" count="131" uniqueCount="38">
  <si>
    <t>TIPO</t>
  </si>
  <si>
    <t>PUERTO / TERMINAL</t>
  </si>
  <si>
    <t>ALTAMIRA (OTM)</t>
  </si>
  <si>
    <t>GUAYMAS (ASIPONA)</t>
  </si>
  <si>
    <t>N.D.</t>
  </si>
  <si>
    <t>LÁZARO CÁRDENAS (IPG)</t>
  </si>
  <si>
    <t>MANZANILLO (LA JUNTA)</t>
  </si>
  <si>
    <t>TOPOLOBAMPO (TM TOPOLO)</t>
  </si>
  <si>
    <t>VERACRUZ (PETRA/TMV)*</t>
  </si>
  <si>
    <t>COATZACOALCOS</t>
  </si>
  <si>
    <t>DOS BOCAS</t>
  </si>
  <si>
    <t>MANZANILLO (GRANELERA)</t>
  </si>
  <si>
    <t>PROGRESO (M8)</t>
  </si>
  <si>
    <t>SALINA CRUZ</t>
  </si>
  <si>
    <t>TAMPICO</t>
  </si>
  <si>
    <t>TUXPAN</t>
  </si>
  <si>
    <t>VERACRUZ (CICE)</t>
  </si>
  <si>
    <t>MECANIZADA</t>
  </si>
  <si>
    <t>SEMIMECANIZADA</t>
  </si>
  <si>
    <t>PROMEDIO</t>
  </si>
  <si>
    <t>VERACRUZ (PETRA)*</t>
  </si>
  <si>
    <r>
      <t>395.9</t>
    </r>
    <r>
      <rPr>
        <sz val="11"/>
        <color rgb="FF1F1F1F"/>
        <rFont val="Noto Sans"/>
        <family val="2"/>
      </rPr>
      <t>*</t>
    </r>
  </si>
  <si>
    <r>
      <t>375.9</t>
    </r>
    <r>
      <rPr>
        <sz val="11"/>
        <color rgb="FF1F1F1F"/>
        <rFont val="Noto Sans"/>
        <family val="2"/>
      </rPr>
      <t>*</t>
    </r>
  </si>
  <si>
    <t>PROGRESO (TUM 1)</t>
  </si>
  <si>
    <t>COATZACOALCOS (MULTIVER/ESTIBADORES)</t>
  </si>
  <si>
    <t>ENSENADA (B.C.)</t>
  </si>
  <si>
    <t>DOS BOCAS (TUM)</t>
  </si>
  <si>
    <t>PUERTO CHIAPAS (TUM)</t>
  </si>
  <si>
    <t>TAMPICO (TUM II)</t>
  </si>
  <si>
    <t>TOPOLOBAMPO (TRANSOCEANICA)</t>
  </si>
  <si>
    <t>TUXPAN (GIT)</t>
  </si>
  <si>
    <t>2021 THBO</t>
  </si>
  <si>
    <t>2022 THBO</t>
  </si>
  <si>
    <t>2023 THBO</t>
  </si>
  <si>
    <t>2024 THBO</t>
  </si>
  <si>
    <t>2025 THBO</t>
  </si>
  <si>
    <t>THBO = Toneladas hora buque en operación</t>
  </si>
  <si>
    <t>RENDIMIENTO POR TIPO DE CARGA (GRANEL AGRÍCOLA)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</si>
</sst>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Noto Sans"/>
      <family val="2"/>
    </font>
    <font>
      <sz val="11"/>
      <color rgb="FF1F1F1F"/>
      <name val="Noto Sans"/>
      <family val="2"/>
    </font>
    <font>
      <b/>
      <sz val="11"/>
      <color theme="0"/>
      <name val="Noto Sans"/>
      <family val="2"/>
    </font>
    <font>
      <b/>
      <sz val="11"/>
      <color theme="1"/>
      <name val="Noto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4" fontId="1" fillId="0" borderId="1" xfId="0" applyNumberFormat="1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4" fillId="6" borderId="1" xfId="0" applyFont="1" applyFill="1" applyBorder="1" applyAlignment="1">
      <alignment horizontal="center" vertical="center" wrapText="1" readingOrder="1"/>
    </xf>
    <xf numFmtId="0" fontId="6" fillId="7" borderId="2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932C-9D62-4EB3-A033-723E84EBEA81}">
  <dimension ref="A1:G15"/>
  <sheetViews>
    <sheetView workbookViewId="0">
      <selection activeCell="L16" sqref="L16"/>
    </sheetView>
  </sheetViews>
  <sheetFormatPr baseColWidth="10" defaultRowHeight="15" x14ac:dyDescent="0.25"/>
  <cols>
    <col min="1" max="2" width="20.7109375" customWidth="1"/>
    <col min="3" max="7" width="14.7109375" customWidth="1"/>
  </cols>
  <sheetData>
    <row r="1" spans="1:7" ht="30.75" thickBot="1" x14ac:dyDescent="0.3">
      <c r="A1" s="1" t="s">
        <v>0</v>
      </c>
      <c r="B1" s="1" t="s">
        <v>1</v>
      </c>
      <c r="C1" s="1">
        <v>2021</v>
      </c>
      <c r="D1" s="1">
        <v>2022</v>
      </c>
      <c r="E1" s="1">
        <v>2023</v>
      </c>
      <c r="F1" s="1">
        <v>2024</v>
      </c>
      <c r="G1" s="2">
        <v>2025</v>
      </c>
    </row>
    <row r="2" spans="1:7" ht="15.75" thickBot="1" x14ac:dyDescent="0.3">
      <c r="A2" s="1" t="s">
        <v>17</v>
      </c>
      <c r="B2" s="3" t="s">
        <v>2</v>
      </c>
      <c r="C2" s="3">
        <v>421.2</v>
      </c>
      <c r="D2" s="3">
        <v>363.6</v>
      </c>
      <c r="E2" s="3">
        <v>359.2</v>
      </c>
      <c r="F2" s="3">
        <v>394.3</v>
      </c>
      <c r="G2" s="4">
        <v>457</v>
      </c>
    </row>
    <row r="3" spans="1:7" ht="29.25" thickBot="1" x14ac:dyDescent="0.3">
      <c r="A3" s="1" t="s">
        <v>17</v>
      </c>
      <c r="B3" s="3" t="s">
        <v>3</v>
      </c>
      <c r="C3" s="3">
        <v>652.5</v>
      </c>
      <c r="D3" s="3">
        <v>676.5</v>
      </c>
      <c r="E3" s="3">
        <v>579.79999999999995</v>
      </c>
      <c r="F3" s="3">
        <v>719.7</v>
      </c>
      <c r="G3" s="4" t="s">
        <v>4</v>
      </c>
    </row>
    <row r="4" spans="1:7" ht="29.25" thickBot="1" x14ac:dyDescent="0.3">
      <c r="A4" s="1" t="s">
        <v>17</v>
      </c>
      <c r="B4" s="3" t="s">
        <v>5</v>
      </c>
      <c r="C4" s="3">
        <v>356.6</v>
      </c>
      <c r="D4" s="3">
        <v>285</v>
      </c>
      <c r="E4" s="3">
        <v>334.1</v>
      </c>
      <c r="F4" s="3" t="s">
        <v>4</v>
      </c>
      <c r="G4" s="4">
        <v>347</v>
      </c>
    </row>
    <row r="5" spans="1:7" ht="29.25" thickBot="1" x14ac:dyDescent="0.3">
      <c r="A5" s="1" t="s">
        <v>17</v>
      </c>
      <c r="B5" s="3" t="s">
        <v>6</v>
      </c>
      <c r="C5" s="3">
        <v>411.3</v>
      </c>
      <c r="D5" s="3">
        <v>323.7</v>
      </c>
      <c r="E5" s="3">
        <v>402</v>
      </c>
      <c r="F5" s="3">
        <v>412</v>
      </c>
      <c r="G5" s="4">
        <v>433</v>
      </c>
    </row>
    <row r="6" spans="1:7" ht="29.25" thickBot="1" x14ac:dyDescent="0.3">
      <c r="A6" s="1" t="s">
        <v>17</v>
      </c>
      <c r="B6" s="3" t="s">
        <v>7</v>
      </c>
      <c r="C6" s="3">
        <v>758.7</v>
      </c>
      <c r="D6" s="3">
        <v>635.70000000000005</v>
      </c>
      <c r="E6" s="3">
        <v>736.8</v>
      </c>
      <c r="F6" s="3">
        <v>662.9</v>
      </c>
      <c r="G6" s="4">
        <v>597.1</v>
      </c>
    </row>
    <row r="7" spans="1:7" ht="29.25" thickBot="1" x14ac:dyDescent="0.3">
      <c r="A7" s="1" t="s">
        <v>17</v>
      </c>
      <c r="B7" s="3" t="s">
        <v>8</v>
      </c>
      <c r="C7" s="3">
        <v>431</v>
      </c>
      <c r="D7" s="3">
        <v>578.70000000000005</v>
      </c>
      <c r="E7" s="3">
        <v>354.1</v>
      </c>
      <c r="F7" s="5">
        <v>3348.5</v>
      </c>
      <c r="G7" s="4">
        <v>219.9</v>
      </c>
    </row>
    <row r="8" spans="1:7" ht="30.75" thickBot="1" x14ac:dyDescent="0.3">
      <c r="A8" s="1" t="s">
        <v>18</v>
      </c>
      <c r="B8" s="3" t="s">
        <v>9</v>
      </c>
      <c r="C8" s="3">
        <v>342</v>
      </c>
      <c r="D8" s="3">
        <v>317</v>
      </c>
      <c r="E8" s="3">
        <v>305</v>
      </c>
      <c r="F8" s="3">
        <v>213</v>
      </c>
      <c r="G8" s="4">
        <v>322</v>
      </c>
    </row>
    <row r="9" spans="1:7" ht="30.75" thickBot="1" x14ac:dyDescent="0.3">
      <c r="A9" s="1" t="s">
        <v>18</v>
      </c>
      <c r="B9" s="3" t="s">
        <v>10</v>
      </c>
      <c r="C9" s="3">
        <v>174.4</v>
      </c>
      <c r="D9" s="3">
        <v>170.4</v>
      </c>
      <c r="E9" s="3">
        <v>167.3</v>
      </c>
      <c r="F9" s="3">
        <v>192.4</v>
      </c>
      <c r="G9" s="4">
        <v>179</v>
      </c>
    </row>
    <row r="10" spans="1:7" ht="30.75" thickBot="1" x14ac:dyDescent="0.3">
      <c r="A10" s="1" t="s">
        <v>18</v>
      </c>
      <c r="B10" s="3" t="s">
        <v>11</v>
      </c>
      <c r="C10" s="3">
        <v>478</v>
      </c>
      <c r="D10" s="3">
        <v>478.6</v>
      </c>
      <c r="E10" s="3">
        <v>392</v>
      </c>
      <c r="F10" s="3">
        <v>434</v>
      </c>
      <c r="G10" s="4">
        <v>567</v>
      </c>
    </row>
    <row r="11" spans="1:7" ht="30.75" thickBot="1" x14ac:dyDescent="0.3">
      <c r="A11" s="1" t="s">
        <v>18</v>
      </c>
      <c r="B11" s="3" t="s">
        <v>12</v>
      </c>
      <c r="C11" s="3">
        <v>564.9</v>
      </c>
      <c r="D11" s="3">
        <v>575.20000000000005</v>
      </c>
      <c r="E11" s="3">
        <v>482.4</v>
      </c>
      <c r="F11" s="3">
        <v>495.7</v>
      </c>
      <c r="G11" s="4">
        <v>492.9</v>
      </c>
    </row>
    <row r="12" spans="1:7" ht="30.75" thickBot="1" x14ac:dyDescent="0.3">
      <c r="A12" s="1" t="s">
        <v>18</v>
      </c>
      <c r="B12" s="3" t="s">
        <v>13</v>
      </c>
      <c r="C12" s="3">
        <v>279</v>
      </c>
      <c r="D12" s="3">
        <v>314</v>
      </c>
      <c r="E12" s="3">
        <v>223</v>
      </c>
      <c r="F12" s="3">
        <v>192</v>
      </c>
      <c r="G12" s="4">
        <v>245</v>
      </c>
    </row>
    <row r="13" spans="1:7" ht="30.75" thickBot="1" x14ac:dyDescent="0.3">
      <c r="A13" s="1" t="s">
        <v>18</v>
      </c>
      <c r="B13" s="3" t="s">
        <v>14</v>
      </c>
      <c r="C13" s="3">
        <v>465</v>
      </c>
      <c r="D13" s="3">
        <v>400</v>
      </c>
      <c r="E13" s="3">
        <v>548</v>
      </c>
      <c r="F13" s="3">
        <v>370</v>
      </c>
      <c r="G13" s="4">
        <v>386</v>
      </c>
    </row>
    <row r="14" spans="1:7" ht="30.75" thickBot="1" x14ac:dyDescent="0.3">
      <c r="A14" s="1" t="s">
        <v>18</v>
      </c>
      <c r="B14" s="3" t="s">
        <v>15</v>
      </c>
      <c r="C14" s="3">
        <v>342</v>
      </c>
      <c r="D14" s="3">
        <v>305</v>
      </c>
      <c r="E14" s="3">
        <v>334</v>
      </c>
      <c r="F14" s="3">
        <v>387</v>
      </c>
      <c r="G14" s="4">
        <v>290</v>
      </c>
    </row>
    <row r="15" spans="1:7" ht="30.75" thickBot="1" x14ac:dyDescent="0.3">
      <c r="A15" s="1" t="s">
        <v>18</v>
      </c>
      <c r="B15" s="3" t="s">
        <v>16</v>
      </c>
      <c r="C15" s="3">
        <v>208.5</v>
      </c>
      <c r="D15" s="3">
        <v>170</v>
      </c>
      <c r="E15" s="3">
        <v>331.1</v>
      </c>
      <c r="F15" s="5">
        <v>1444.3</v>
      </c>
      <c r="G15" s="4">
        <v>793.8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0EEB-9441-47CC-B1D3-EE7E9FA7D70F}">
  <dimension ref="A1:I15"/>
  <sheetViews>
    <sheetView workbookViewId="0">
      <selection activeCell="L8" sqref="L8"/>
    </sheetView>
  </sheetViews>
  <sheetFormatPr baseColWidth="10" defaultRowHeight="15" x14ac:dyDescent="0.25"/>
  <cols>
    <col min="1" max="2" width="20.7109375" customWidth="1"/>
    <col min="8" max="8" width="12.85546875" customWidth="1"/>
  </cols>
  <sheetData>
    <row r="1" spans="1:9" ht="39.75" thickBot="1" x14ac:dyDescent="0.3">
      <c r="A1" s="9" t="s">
        <v>0</v>
      </c>
      <c r="B1" s="9" t="s">
        <v>1</v>
      </c>
      <c r="C1" s="9">
        <v>2021</v>
      </c>
      <c r="D1" s="9">
        <v>2022</v>
      </c>
      <c r="E1" s="9">
        <v>2023</v>
      </c>
      <c r="F1" s="9">
        <v>2024</v>
      </c>
      <c r="G1" s="9">
        <v>2025</v>
      </c>
      <c r="H1" s="9" t="s">
        <v>19</v>
      </c>
    </row>
    <row r="2" spans="1:9" ht="20.25" thickBot="1" x14ac:dyDescent="0.3">
      <c r="A2" s="12" t="s">
        <v>17</v>
      </c>
      <c r="B2" s="7" t="s">
        <v>2</v>
      </c>
      <c r="C2" s="7">
        <v>421.2</v>
      </c>
      <c r="D2" s="7">
        <v>363.6</v>
      </c>
      <c r="E2" s="7">
        <v>359.2</v>
      </c>
      <c r="F2" s="7">
        <v>394.3</v>
      </c>
      <c r="G2" s="7">
        <v>457</v>
      </c>
      <c r="H2" s="6">
        <v>399.1</v>
      </c>
      <c r="I2">
        <f>AVERAGE(C2:G2)</f>
        <v>399.06</v>
      </c>
    </row>
    <row r="3" spans="1:9" ht="39.75" thickBot="1" x14ac:dyDescent="0.3">
      <c r="A3" s="12" t="s">
        <v>17</v>
      </c>
      <c r="B3" s="7" t="s">
        <v>3</v>
      </c>
      <c r="C3" s="7">
        <v>652.5</v>
      </c>
      <c r="D3" s="7">
        <v>676.5</v>
      </c>
      <c r="E3" s="7">
        <v>579.79999999999995</v>
      </c>
      <c r="F3" s="7">
        <v>719.7</v>
      </c>
      <c r="G3" s="7" t="s">
        <v>4</v>
      </c>
      <c r="H3" s="6">
        <v>657.1</v>
      </c>
      <c r="I3">
        <f t="shared" ref="I3:I15" si="0">AVERAGE(C3:G3)</f>
        <v>657.125</v>
      </c>
    </row>
    <row r="4" spans="1:9" ht="39.75" thickBot="1" x14ac:dyDescent="0.3">
      <c r="A4" s="12" t="s">
        <v>17</v>
      </c>
      <c r="B4" s="7" t="s">
        <v>5</v>
      </c>
      <c r="C4" s="7">
        <v>356.6</v>
      </c>
      <c r="D4" s="7">
        <v>285</v>
      </c>
      <c r="E4" s="7">
        <v>334.1</v>
      </c>
      <c r="F4" s="7" t="s">
        <v>4</v>
      </c>
      <c r="G4" s="7">
        <v>347</v>
      </c>
      <c r="H4" s="6">
        <v>330.7</v>
      </c>
      <c r="I4">
        <f t="shared" si="0"/>
        <v>330.67500000000001</v>
      </c>
    </row>
    <row r="5" spans="1:9" ht="39.75" thickBot="1" x14ac:dyDescent="0.3">
      <c r="A5" s="12" t="s">
        <v>17</v>
      </c>
      <c r="B5" s="7" t="s">
        <v>6</v>
      </c>
      <c r="C5" s="7">
        <v>411.3</v>
      </c>
      <c r="D5" s="7">
        <v>323.7</v>
      </c>
      <c r="E5" s="7">
        <v>402</v>
      </c>
      <c r="F5" s="7">
        <v>412</v>
      </c>
      <c r="G5" s="7">
        <v>433</v>
      </c>
      <c r="H5" s="6">
        <v>396.4</v>
      </c>
      <c r="I5">
        <f t="shared" si="0"/>
        <v>396.4</v>
      </c>
    </row>
    <row r="6" spans="1:9" ht="39.75" thickBot="1" x14ac:dyDescent="0.3">
      <c r="A6" s="12" t="s">
        <v>17</v>
      </c>
      <c r="B6" s="7" t="s">
        <v>7</v>
      </c>
      <c r="C6" s="7">
        <v>758.7</v>
      </c>
      <c r="D6" s="7">
        <v>635.70000000000005</v>
      </c>
      <c r="E6" s="7">
        <v>736.8</v>
      </c>
      <c r="F6" s="7">
        <v>662.9</v>
      </c>
      <c r="G6" s="7">
        <v>597.1</v>
      </c>
      <c r="H6" s="6">
        <v>678.2</v>
      </c>
      <c r="I6">
        <f t="shared" si="0"/>
        <v>678.24</v>
      </c>
    </row>
    <row r="7" spans="1:9" ht="39.75" thickBot="1" x14ac:dyDescent="0.3">
      <c r="A7" s="12" t="s">
        <v>17</v>
      </c>
      <c r="B7" s="7" t="s">
        <v>20</v>
      </c>
      <c r="C7" s="7">
        <v>431</v>
      </c>
      <c r="D7" s="7">
        <v>578.70000000000005</v>
      </c>
      <c r="E7" s="7">
        <v>354.1</v>
      </c>
      <c r="F7" s="8">
        <v>3348.5</v>
      </c>
      <c r="G7" s="7">
        <v>219.9</v>
      </c>
      <c r="H7" s="6" t="s">
        <v>21</v>
      </c>
      <c r="I7">
        <f t="shared" si="0"/>
        <v>986.43999999999994</v>
      </c>
    </row>
    <row r="8" spans="1:9" ht="39.75" thickBot="1" x14ac:dyDescent="0.3">
      <c r="A8" s="13" t="s">
        <v>18</v>
      </c>
      <c r="B8" s="7" t="s">
        <v>9</v>
      </c>
      <c r="C8" s="7">
        <v>342</v>
      </c>
      <c r="D8" s="7">
        <v>317</v>
      </c>
      <c r="E8" s="7">
        <v>305</v>
      </c>
      <c r="F8" s="7">
        <v>213</v>
      </c>
      <c r="G8" s="7">
        <v>322</v>
      </c>
      <c r="H8" s="6">
        <v>299.8</v>
      </c>
      <c r="I8">
        <f t="shared" si="0"/>
        <v>299.8</v>
      </c>
    </row>
    <row r="9" spans="1:9" ht="39.75" thickBot="1" x14ac:dyDescent="0.3">
      <c r="A9" s="13" t="s">
        <v>18</v>
      </c>
      <c r="B9" s="7" t="s">
        <v>10</v>
      </c>
      <c r="C9" s="7">
        <v>174.4</v>
      </c>
      <c r="D9" s="7">
        <v>170.4</v>
      </c>
      <c r="E9" s="7">
        <v>167.3</v>
      </c>
      <c r="F9" s="7">
        <v>192.4</v>
      </c>
      <c r="G9" s="7">
        <v>179</v>
      </c>
      <c r="H9" s="6">
        <v>176.7</v>
      </c>
      <c r="I9">
        <f t="shared" si="0"/>
        <v>176.7</v>
      </c>
    </row>
    <row r="10" spans="1:9" ht="39.75" thickBot="1" x14ac:dyDescent="0.3">
      <c r="A10" s="13" t="s">
        <v>18</v>
      </c>
      <c r="B10" s="7" t="s">
        <v>11</v>
      </c>
      <c r="C10" s="7">
        <v>478</v>
      </c>
      <c r="D10" s="7">
        <v>478.6</v>
      </c>
      <c r="E10" s="7">
        <v>392</v>
      </c>
      <c r="F10" s="7">
        <v>434</v>
      </c>
      <c r="G10" s="7">
        <v>567</v>
      </c>
      <c r="H10" s="6">
        <v>469.9</v>
      </c>
      <c r="I10">
        <f t="shared" si="0"/>
        <v>469.91999999999996</v>
      </c>
    </row>
    <row r="11" spans="1:9" ht="39.75" thickBot="1" x14ac:dyDescent="0.3">
      <c r="A11" s="13" t="s">
        <v>18</v>
      </c>
      <c r="B11" s="7" t="s">
        <v>12</v>
      </c>
      <c r="C11" s="7">
        <v>564.9</v>
      </c>
      <c r="D11" s="7">
        <v>575.20000000000005</v>
      </c>
      <c r="E11" s="7">
        <v>482.4</v>
      </c>
      <c r="F11" s="7">
        <v>495.7</v>
      </c>
      <c r="G11" s="7">
        <v>492.9</v>
      </c>
      <c r="H11" s="6">
        <v>522.20000000000005</v>
      </c>
      <c r="I11">
        <f t="shared" si="0"/>
        <v>522.22</v>
      </c>
    </row>
    <row r="12" spans="1:9" ht="39.75" thickBot="1" x14ac:dyDescent="0.3">
      <c r="A12" s="13" t="s">
        <v>18</v>
      </c>
      <c r="B12" s="7" t="s">
        <v>13</v>
      </c>
      <c r="C12" s="7">
        <v>279</v>
      </c>
      <c r="D12" s="7">
        <v>314</v>
      </c>
      <c r="E12" s="7">
        <v>223</v>
      </c>
      <c r="F12" s="7">
        <v>192</v>
      </c>
      <c r="G12" s="7">
        <v>245</v>
      </c>
      <c r="H12" s="6">
        <v>250.6</v>
      </c>
      <c r="I12">
        <f t="shared" si="0"/>
        <v>250.6</v>
      </c>
    </row>
    <row r="13" spans="1:9" ht="39.75" thickBot="1" x14ac:dyDescent="0.3">
      <c r="A13" s="13" t="s">
        <v>18</v>
      </c>
      <c r="B13" s="7" t="s">
        <v>14</v>
      </c>
      <c r="C13" s="7">
        <v>465</v>
      </c>
      <c r="D13" s="7">
        <v>400</v>
      </c>
      <c r="E13" s="7">
        <v>548</v>
      </c>
      <c r="F13" s="7">
        <v>370</v>
      </c>
      <c r="G13" s="7">
        <v>386</v>
      </c>
      <c r="H13" s="6">
        <v>433.8</v>
      </c>
      <c r="I13">
        <f t="shared" si="0"/>
        <v>433.8</v>
      </c>
    </row>
    <row r="14" spans="1:9" ht="39.75" thickBot="1" x14ac:dyDescent="0.3">
      <c r="A14" s="13" t="s">
        <v>18</v>
      </c>
      <c r="B14" s="7" t="s">
        <v>15</v>
      </c>
      <c r="C14" s="7">
        <v>342</v>
      </c>
      <c r="D14" s="7">
        <v>305</v>
      </c>
      <c r="E14" s="7">
        <v>334</v>
      </c>
      <c r="F14" s="7">
        <v>387</v>
      </c>
      <c r="G14" s="7">
        <v>290</v>
      </c>
      <c r="H14" s="6">
        <v>331.6</v>
      </c>
      <c r="I14">
        <f t="shared" si="0"/>
        <v>331.6</v>
      </c>
    </row>
    <row r="15" spans="1:9" ht="39.75" thickBot="1" x14ac:dyDescent="0.3">
      <c r="A15" s="13" t="s">
        <v>18</v>
      </c>
      <c r="B15" s="7" t="s">
        <v>16</v>
      </c>
      <c r="C15" s="7">
        <v>208.5</v>
      </c>
      <c r="D15" s="7">
        <v>170</v>
      </c>
      <c r="E15" s="7">
        <v>331.1</v>
      </c>
      <c r="F15" s="8">
        <v>1444.3</v>
      </c>
      <c r="G15" s="7">
        <v>793.8</v>
      </c>
      <c r="H15" s="6" t="s">
        <v>22</v>
      </c>
      <c r="I15">
        <f t="shared" si="0"/>
        <v>589.54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C79B-7961-47F4-8D31-C167BE3BE760}">
  <dimension ref="A1:J21"/>
  <sheetViews>
    <sheetView tabSelected="1" topLeftCell="A5" workbookViewId="0">
      <selection activeCell="G10" sqref="G10:G21"/>
    </sheetView>
  </sheetViews>
  <sheetFormatPr baseColWidth="10" defaultRowHeight="15" x14ac:dyDescent="0.25"/>
  <cols>
    <col min="1" max="1" width="23.7109375" customWidth="1"/>
    <col min="2" max="2" width="25.7109375" customWidth="1"/>
    <col min="3" max="7" width="17.7109375" customWidth="1"/>
    <col min="10" max="10" width="20.28515625" customWidth="1"/>
  </cols>
  <sheetData>
    <row r="1" spans="1:10" ht="20.25" thickBot="1" x14ac:dyDescent="0.3">
      <c r="A1" s="18" t="s">
        <v>37</v>
      </c>
      <c r="B1" s="18"/>
      <c r="C1" s="18"/>
      <c r="D1" s="18"/>
      <c r="E1" s="18"/>
      <c r="F1" s="18"/>
      <c r="G1" s="18"/>
    </row>
    <row r="2" spans="1:10" ht="20.25" thickBot="1" x14ac:dyDescent="0.3">
      <c r="A2" s="9" t="s">
        <v>0</v>
      </c>
      <c r="B2" s="9" t="s">
        <v>1</v>
      </c>
      <c r="C2" s="9" t="s">
        <v>31</v>
      </c>
      <c r="D2" s="9" t="s">
        <v>32</v>
      </c>
      <c r="E2" s="9" t="s">
        <v>33</v>
      </c>
      <c r="F2" s="9" t="s">
        <v>34</v>
      </c>
      <c r="G2" s="9" t="s">
        <v>35</v>
      </c>
      <c r="H2" s="16" t="s">
        <v>36</v>
      </c>
      <c r="I2" s="17"/>
      <c r="J2" s="17"/>
    </row>
    <row r="3" spans="1:10" ht="20.25" thickBot="1" x14ac:dyDescent="0.3">
      <c r="A3" s="10" t="s">
        <v>17</v>
      </c>
      <c r="B3" s="7" t="s">
        <v>2</v>
      </c>
      <c r="C3" s="7">
        <v>421.2</v>
      </c>
      <c r="D3" s="7">
        <v>363.6</v>
      </c>
      <c r="E3" s="7">
        <v>359.2</v>
      </c>
      <c r="F3" s="7">
        <v>394.3</v>
      </c>
      <c r="G3" s="7">
        <v>457</v>
      </c>
    </row>
    <row r="4" spans="1:10" ht="20.25" thickBot="1" x14ac:dyDescent="0.3">
      <c r="A4" s="10" t="s">
        <v>17</v>
      </c>
      <c r="B4" s="7" t="s">
        <v>3</v>
      </c>
      <c r="C4" s="7">
        <v>652.5</v>
      </c>
      <c r="D4" s="7">
        <v>676.5</v>
      </c>
      <c r="E4" s="7">
        <v>579.79999999999995</v>
      </c>
      <c r="F4" s="7">
        <v>719.7</v>
      </c>
      <c r="G4" s="7" t="s">
        <v>4</v>
      </c>
    </row>
    <row r="5" spans="1:10" ht="39.75" thickBot="1" x14ac:dyDescent="0.3">
      <c r="A5" s="10" t="s">
        <v>17</v>
      </c>
      <c r="B5" s="7" t="s">
        <v>5</v>
      </c>
      <c r="C5" s="7">
        <v>356.6</v>
      </c>
      <c r="D5" s="7">
        <v>285</v>
      </c>
      <c r="E5" s="7">
        <v>334.1</v>
      </c>
      <c r="F5" s="7" t="s">
        <v>4</v>
      </c>
      <c r="G5" s="7">
        <v>347</v>
      </c>
    </row>
    <row r="6" spans="1:10" ht="39.75" thickBot="1" x14ac:dyDescent="0.3">
      <c r="A6" s="10" t="s">
        <v>17</v>
      </c>
      <c r="B6" s="7" t="s">
        <v>6</v>
      </c>
      <c r="C6" s="7">
        <v>411.3</v>
      </c>
      <c r="D6" s="7">
        <v>323.7</v>
      </c>
      <c r="E6" s="7">
        <v>402</v>
      </c>
      <c r="F6" s="7">
        <v>412</v>
      </c>
      <c r="G6" s="7">
        <v>433</v>
      </c>
    </row>
    <row r="7" spans="1:10" ht="20.25" thickBot="1" x14ac:dyDescent="0.3">
      <c r="A7" s="10" t="s">
        <v>17</v>
      </c>
      <c r="B7" s="14" t="s">
        <v>23</v>
      </c>
      <c r="C7" s="14" t="s">
        <v>4</v>
      </c>
      <c r="D7" s="14" t="s">
        <v>4</v>
      </c>
      <c r="E7" s="14" t="s">
        <v>4</v>
      </c>
      <c r="F7" s="14">
        <v>185.2</v>
      </c>
      <c r="G7" s="14" t="s">
        <v>4</v>
      </c>
    </row>
    <row r="8" spans="1:10" ht="39.75" thickBot="1" x14ac:dyDescent="0.3">
      <c r="A8" s="10" t="s">
        <v>17</v>
      </c>
      <c r="B8" s="15" t="s">
        <v>7</v>
      </c>
      <c r="C8" s="15">
        <v>758.7</v>
      </c>
      <c r="D8" s="15">
        <v>635.70000000000005</v>
      </c>
      <c r="E8" s="15">
        <v>736.8</v>
      </c>
      <c r="F8" s="15">
        <v>662.9</v>
      </c>
      <c r="G8" s="15">
        <v>597.1</v>
      </c>
    </row>
    <row r="9" spans="1:10" ht="39.75" thickBot="1" x14ac:dyDescent="0.3">
      <c r="A9" s="10" t="s">
        <v>17</v>
      </c>
      <c r="B9" s="7" t="s">
        <v>8</v>
      </c>
      <c r="C9" s="7">
        <v>431</v>
      </c>
      <c r="D9" s="7">
        <v>578.70000000000005</v>
      </c>
      <c r="E9" s="7">
        <v>354.1</v>
      </c>
      <c r="F9" s="8">
        <v>3348.5</v>
      </c>
      <c r="G9" s="7">
        <v>219.9</v>
      </c>
    </row>
    <row r="10" spans="1:10" ht="59.25" thickBot="1" x14ac:dyDescent="0.3">
      <c r="A10" s="11" t="s">
        <v>18</v>
      </c>
      <c r="B10" s="14" t="s">
        <v>24</v>
      </c>
      <c r="C10" s="14">
        <v>342</v>
      </c>
      <c r="D10" s="14">
        <v>317</v>
      </c>
      <c r="E10" s="14">
        <v>305</v>
      </c>
      <c r="F10" s="14">
        <v>213</v>
      </c>
      <c r="G10" s="14">
        <v>322</v>
      </c>
    </row>
    <row r="11" spans="1:10" ht="20.25" thickBot="1" x14ac:dyDescent="0.3">
      <c r="A11" s="11" t="s">
        <v>18</v>
      </c>
      <c r="B11" s="7" t="s">
        <v>25</v>
      </c>
      <c r="C11" s="7">
        <v>183.5</v>
      </c>
      <c r="D11" s="7" t="s">
        <v>4</v>
      </c>
      <c r="E11" s="7" t="s">
        <v>4</v>
      </c>
      <c r="F11" s="7" t="s">
        <v>4</v>
      </c>
      <c r="G11" s="7" t="s">
        <v>4</v>
      </c>
    </row>
    <row r="12" spans="1:10" ht="20.25" thickBot="1" x14ac:dyDescent="0.3">
      <c r="A12" s="11" t="s">
        <v>18</v>
      </c>
      <c r="B12" s="7" t="s">
        <v>26</v>
      </c>
      <c r="C12" s="7">
        <v>174.4</v>
      </c>
      <c r="D12" s="7">
        <v>170.4</v>
      </c>
      <c r="E12" s="7">
        <v>167.3</v>
      </c>
      <c r="F12" s="7">
        <v>192.4</v>
      </c>
      <c r="G12" s="7">
        <v>179</v>
      </c>
    </row>
    <row r="13" spans="1:10" ht="20.25" thickBot="1" x14ac:dyDescent="0.3">
      <c r="A13" s="11" t="s">
        <v>18</v>
      </c>
      <c r="B13" s="7" t="s">
        <v>3</v>
      </c>
      <c r="C13" s="7" t="s">
        <v>4</v>
      </c>
      <c r="D13" s="7">
        <v>272.7</v>
      </c>
      <c r="E13" s="7">
        <v>429.8</v>
      </c>
      <c r="F13" s="7" t="s">
        <v>4</v>
      </c>
      <c r="G13" s="7">
        <v>228.3</v>
      </c>
    </row>
    <row r="14" spans="1:10" ht="39.75" thickBot="1" x14ac:dyDescent="0.3">
      <c r="A14" s="11" t="s">
        <v>18</v>
      </c>
      <c r="B14" s="7" t="s">
        <v>11</v>
      </c>
      <c r="C14" s="7">
        <v>478</v>
      </c>
      <c r="D14" s="7">
        <v>478.6</v>
      </c>
      <c r="E14" s="7">
        <v>392</v>
      </c>
      <c r="F14" s="7">
        <v>434</v>
      </c>
      <c r="G14" s="7">
        <v>567</v>
      </c>
    </row>
    <row r="15" spans="1:10" ht="20.25" thickBot="1" x14ac:dyDescent="0.3">
      <c r="A15" s="11" t="s">
        <v>18</v>
      </c>
      <c r="B15" s="14" t="s">
        <v>12</v>
      </c>
      <c r="C15" s="14">
        <v>564.9</v>
      </c>
      <c r="D15" s="14">
        <v>575.20000000000005</v>
      </c>
      <c r="E15" s="14">
        <v>482.4</v>
      </c>
      <c r="F15" s="14">
        <v>495.7</v>
      </c>
      <c r="G15" s="14">
        <v>492.9</v>
      </c>
    </row>
    <row r="16" spans="1:10" ht="39.75" thickBot="1" x14ac:dyDescent="0.3">
      <c r="A16" s="11" t="s">
        <v>18</v>
      </c>
      <c r="B16" s="14" t="s">
        <v>27</v>
      </c>
      <c r="C16" s="14">
        <v>300</v>
      </c>
      <c r="D16" s="14">
        <v>300</v>
      </c>
      <c r="E16" s="14">
        <v>300</v>
      </c>
      <c r="F16" s="14" t="s">
        <v>4</v>
      </c>
      <c r="G16" s="14">
        <v>300</v>
      </c>
    </row>
    <row r="17" spans="1:7" ht="20.25" thickBot="1" x14ac:dyDescent="0.3">
      <c r="A17" s="11" t="s">
        <v>18</v>
      </c>
      <c r="B17" s="14" t="s">
        <v>13</v>
      </c>
      <c r="C17" s="14">
        <v>279</v>
      </c>
      <c r="D17" s="14">
        <v>314</v>
      </c>
      <c r="E17" s="14">
        <v>223</v>
      </c>
      <c r="F17" s="14">
        <v>192</v>
      </c>
      <c r="G17" s="14">
        <v>245</v>
      </c>
    </row>
    <row r="18" spans="1:7" ht="20.25" thickBot="1" x14ac:dyDescent="0.3">
      <c r="A18" s="11" t="s">
        <v>18</v>
      </c>
      <c r="B18" s="7" t="s">
        <v>28</v>
      </c>
      <c r="C18" s="7">
        <v>465</v>
      </c>
      <c r="D18" s="7">
        <v>400</v>
      </c>
      <c r="E18" s="7">
        <v>548</v>
      </c>
      <c r="F18" s="7">
        <v>370</v>
      </c>
      <c r="G18" s="7">
        <v>386</v>
      </c>
    </row>
    <row r="19" spans="1:7" ht="39.75" thickBot="1" x14ac:dyDescent="0.3">
      <c r="A19" s="11" t="s">
        <v>18</v>
      </c>
      <c r="B19" s="15" t="s">
        <v>29</v>
      </c>
      <c r="C19" s="15" t="s">
        <v>4</v>
      </c>
      <c r="D19" s="15" t="s">
        <v>4</v>
      </c>
      <c r="E19" s="15" t="s">
        <v>4</v>
      </c>
      <c r="F19" s="15" t="s">
        <v>4</v>
      </c>
      <c r="G19" s="15">
        <v>276.89999999999998</v>
      </c>
    </row>
    <row r="20" spans="1:7" ht="20.25" thickBot="1" x14ac:dyDescent="0.3">
      <c r="A20" s="11" t="s">
        <v>18</v>
      </c>
      <c r="B20" s="7" t="s">
        <v>30</v>
      </c>
      <c r="C20" s="7">
        <v>342</v>
      </c>
      <c r="D20" s="7">
        <v>305</v>
      </c>
      <c r="E20" s="7">
        <v>334</v>
      </c>
      <c r="F20" s="7">
        <v>387</v>
      </c>
      <c r="G20" s="7">
        <v>290</v>
      </c>
    </row>
    <row r="21" spans="1:7" ht="20.25" thickBot="1" x14ac:dyDescent="0.3">
      <c r="A21" s="11" t="s">
        <v>18</v>
      </c>
      <c r="B21" s="7" t="s">
        <v>16</v>
      </c>
      <c r="C21" s="7">
        <v>208.5</v>
      </c>
      <c r="D21" s="7">
        <v>170</v>
      </c>
      <c r="E21" s="7">
        <v>331.1</v>
      </c>
      <c r="F21" s="8">
        <v>1444.3</v>
      </c>
      <c r="G21" s="7">
        <v>793.8</v>
      </c>
    </row>
  </sheetData>
  <mergeCells count="2">
    <mergeCell ref="H2:J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Rosas Chávez</dc:creator>
  <cp:lastModifiedBy>Nelson Puc Cruz</cp:lastModifiedBy>
  <dcterms:created xsi:type="dcterms:W3CDTF">2026-03-15T21:20:45Z</dcterms:created>
  <dcterms:modified xsi:type="dcterms:W3CDTF">2026-03-15T23:01:26Z</dcterms:modified>
</cp:coreProperties>
</file>